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M\Desktop\JMBC\University\Uniandes IMEC\Proyecto de Grado - Tesis\data\motors\"/>
    </mc:Choice>
  </mc:AlternateContent>
  <xr:revisionPtr revIDLastSave="0" documentId="13_ncr:1_{B3180DBE-6F3F-4284-873C-5E87CE6A7F1B}" xr6:coauthVersionLast="47" xr6:coauthVersionMax="47" xr10:uidLastSave="{00000000-0000-0000-0000-000000000000}"/>
  <bookViews>
    <workbookView xWindow="5760" yWindow="696" windowWidth="17280" windowHeight="8880" xr2:uid="{8DCB781D-0994-4B6A-ADA2-6808E376391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5" i="1" l="1"/>
  <c r="M14" i="1"/>
  <c r="M13" i="1"/>
  <c r="I15" i="1"/>
  <c r="I14" i="1"/>
  <c r="I13" i="1"/>
  <c r="I12" i="1"/>
  <c r="M12" i="1"/>
</calcChain>
</file>

<file path=xl/sharedStrings.xml><?xml version="1.0" encoding="utf-8"?>
<sst xmlns="http://schemas.openxmlformats.org/spreadsheetml/2006/main" count="90" uniqueCount="66">
  <si>
    <t>motor_name</t>
  </si>
  <si>
    <t>rated_voltage_V</t>
  </si>
  <si>
    <t>rated_voltage_A</t>
  </si>
  <si>
    <t>nominal_torque_Nm</t>
  </si>
  <si>
    <t>peak_torque_Nm</t>
  </si>
  <si>
    <t>nominal_speed_rpm</t>
  </si>
  <si>
    <t>max_speed_rpm</t>
  </si>
  <si>
    <t>max_current_A</t>
  </si>
  <si>
    <t>speed_constant_rpm_per_V</t>
  </si>
  <si>
    <t>torque_constant_Nm_per_A</t>
  </si>
  <si>
    <t>motor_mass_kg</t>
  </si>
  <si>
    <t>no_load_speed_rpm</t>
  </si>
  <si>
    <t>stall_torque_Nm</t>
  </si>
  <si>
    <t>MyActuator L-4005</t>
  </si>
  <si>
    <t>MyActuator L-4010</t>
  </si>
  <si>
    <t>MyActuator L-4015</t>
  </si>
  <si>
    <t>MyActuator L-5005</t>
  </si>
  <si>
    <t>MyActuator L-5010</t>
  </si>
  <si>
    <t>MyActuator L-5015</t>
  </si>
  <si>
    <t>MyActuator L-7015</t>
  </si>
  <si>
    <t>MyActuator L-7025</t>
  </si>
  <si>
    <t>MyActuator L-9015</t>
  </si>
  <si>
    <t>MyActuator L-9025</t>
  </si>
  <si>
    <t>MyActuator H-40-15</t>
  </si>
  <si>
    <t>MyActuator H-50-15</t>
  </si>
  <si>
    <t>MyActuator H-70-15</t>
  </si>
  <si>
    <t>MyActuator H-90-15</t>
  </si>
  <si>
    <t>efficiency</t>
  </si>
  <si>
    <t>Datos/efficiency_map/efficiency_map_MyActuator_L4005.csv</t>
  </si>
  <si>
    <t>Datos/efficiency_map/efficiency_map_MyActuator_L4010.csv</t>
  </si>
  <si>
    <t>Datos/efficiency_map/efficiency_map_MyActuator_L4015.csv</t>
  </si>
  <si>
    <t>Datos/efficiency_map/efficiency_map_MyActuator_L5010.csv</t>
  </si>
  <si>
    <t>Datos/efficiency_map/efficiency_map_MyActuator_L7015.csv</t>
  </si>
  <si>
    <t>Datos/efficiency_map/efficiency_map_MyActuator_L7025.csv</t>
  </si>
  <si>
    <t>Datos/efficiency_map/efficiency_map_MyActuator_L9015.csv</t>
  </si>
  <si>
    <t>Datos/efficiency_map/efficiency_map_MyActuator_L9025.csv</t>
  </si>
  <si>
    <t>Datos/efficiency_map/efficiency_map_MyActuator_H4015.csv</t>
  </si>
  <si>
    <t>Datos/efficiency_map/efficiency_map_MyActuator_H5015.csv</t>
  </si>
  <si>
    <t>Datos/efficiency_map/efficiency_map_MyActuator_H7015.csv</t>
  </si>
  <si>
    <t>Datos/efficiency_map/efficiency_map_MyActuator_H9015.csv</t>
  </si>
  <si>
    <t>N/A</t>
  </si>
  <si>
    <t>Datos/efficiency_map/efficiency_map_MyActuator_X43.csv</t>
  </si>
  <si>
    <t>MyActuator X4-3 6:1</t>
  </si>
  <si>
    <t>MyActuator X6-7 6:1</t>
  </si>
  <si>
    <t>Datos/efficiency_map/efficiency_map_MyActuator_X67.csv</t>
  </si>
  <si>
    <t>MyActuator X6-40 36:1</t>
  </si>
  <si>
    <t>Datos/efficiency_map/efficiency_map_MyActuator_X640.csv</t>
  </si>
  <si>
    <t>MyActuator X8-25 9:1</t>
  </si>
  <si>
    <t>Datos/efficiency_map/efficiency_map_MyActuator_X825.csv</t>
  </si>
  <si>
    <t>MyActuator X6-8 8:1</t>
  </si>
  <si>
    <t>Datos/efficiency_map/efficiency_map_MyActuator_X68.csv</t>
  </si>
  <si>
    <t>MyActuator X8-20 6:1</t>
  </si>
  <si>
    <t>Datos/efficiency_map/efficiency_map_MyActuator_X820.csv</t>
  </si>
  <si>
    <t>MyActuator X8-60 36:1</t>
  </si>
  <si>
    <t>Datos/efficiency_map/efficiency_map_MyActuator_X860.csv</t>
  </si>
  <si>
    <t>MyActuator X10-40 7:1</t>
  </si>
  <si>
    <t>Datos/efficiency_map/efficiency_map_MyActuator_X1040.csv</t>
  </si>
  <si>
    <t>MyActuator X10-100 35:1</t>
  </si>
  <si>
    <t>Datos/efficiency_map/efficiency_map_MyActuator_X10100.csv</t>
  </si>
  <si>
    <t>MyActuator X4-36 36:1</t>
  </si>
  <si>
    <t>MyActuator X4-10 12.6:1</t>
  </si>
  <si>
    <t>MyActuator X2-7 28.17:1</t>
  </si>
  <si>
    <t>MyActuator X6-60 19,612:1</t>
  </si>
  <si>
    <t>MyActuator X8-32 9:1</t>
  </si>
  <si>
    <t>MyActuator X8-102 19,612:1</t>
  </si>
  <si>
    <t>MyActuator X12-320 20:1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</si>
</sst>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DE2AC-C64F-4602-BA86-FA8FD94C2DB2}">
  <dimension ref="A1:N31"/>
  <sheetViews>
    <sheetView tabSelected="1" topLeftCell="F4" zoomScale="85" zoomScaleNormal="85" workbookViewId="0">
      <selection activeCell="N31" sqref="N31"/>
    </sheetView>
  </sheetViews>
  <sheetFormatPr baseColWidth="10"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27</v>
      </c>
    </row>
    <row r="2" spans="1:14" x14ac:dyDescent="0.3">
      <c r="A2" t="s">
        <v>13</v>
      </c>
      <c r="B2">
        <v>24</v>
      </c>
      <c r="C2">
        <v>1.44</v>
      </c>
      <c r="D2">
        <v>7.0000000000000007E-2</v>
      </c>
      <c r="E2">
        <v>0.25</v>
      </c>
      <c r="F2">
        <v>1600</v>
      </c>
      <c r="G2">
        <v>2390</v>
      </c>
      <c r="H2">
        <v>5.8</v>
      </c>
      <c r="I2">
        <v>199</v>
      </c>
      <c r="J2">
        <v>0.05</v>
      </c>
      <c r="K2">
        <v>6.5000000000000002E-2</v>
      </c>
      <c r="L2">
        <v>2390</v>
      </c>
      <c r="M2">
        <v>0.25</v>
      </c>
      <c r="N2" t="s">
        <v>28</v>
      </c>
    </row>
    <row r="3" spans="1:14" x14ac:dyDescent="0.3">
      <c r="A3" t="s">
        <v>14</v>
      </c>
      <c r="B3">
        <v>24</v>
      </c>
      <c r="C3">
        <v>1.43</v>
      </c>
      <c r="D3">
        <v>0.15</v>
      </c>
      <c r="E3">
        <v>0.33</v>
      </c>
      <c r="F3">
        <v>560</v>
      </c>
      <c r="G3">
        <v>1120</v>
      </c>
      <c r="H3">
        <v>3.2</v>
      </c>
      <c r="I3">
        <v>93</v>
      </c>
      <c r="J3">
        <v>0.1</v>
      </c>
      <c r="K3">
        <v>9.1999999999999998E-2</v>
      </c>
      <c r="L3">
        <v>1120</v>
      </c>
      <c r="M3">
        <v>0.33</v>
      </c>
      <c r="N3" t="s">
        <v>29</v>
      </c>
    </row>
    <row r="4" spans="1:14" x14ac:dyDescent="0.3">
      <c r="A4" t="s">
        <v>15</v>
      </c>
      <c r="B4">
        <v>24</v>
      </c>
      <c r="C4">
        <v>1.88</v>
      </c>
      <c r="D4">
        <v>0.22</v>
      </c>
      <c r="E4">
        <v>0.49</v>
      </c>
      <c r="F4">
        <v>520</v>
      </c>
      <c r="G4">
        <v>1010</v>
      </c>
      <c r="H4">
        <v>4.3</v>
      </c>
      <c r="I4">
        <v>63</v>
      </c>
      <c r="J4">
        <v>0.12</v>
      </c>
      <c r="K4">
        <v>0.12</v>
      </c>
      <c r="L4">
        <v>1010</v>
      </c>
      <c r="M4">
        <v>0.49</v>
      </c>
      <c r="N4" t="s">
        <v>30</v>
      </c>
    </row>
    <row r="5" spans="1:14" x14ac:dyDescent="0.3">
      <c r="A5" t="s">
        <v>16</v>
      </c>
      <c r="B5">
        <v>24</v>
      </c>
      <c r="C5">
        <v>1.67</v>
      </c>
      <c r="D5">
        <v>0.13</v>
      </c>
      <c r="E5">
        <v>0.42</v>
      </c>
      <c r="F5">
        <v>1360</v>
      </c>
      <c r="G5">
        <v>1970</v>
      </c>
      <c r="H5">
        <v>5</v>
      </c>
      <c r="I5">
        <v>123</v>
      </c>
      <c r="J5">
        <v>0.08</v>
      </c>
      <c r="K5">
        <v>9.1999999999999998E-2</v>
      </c>
      <c r="L5">
        <v>1970</v>
      </c>
      <c r="M5">
        <v>0.42</v>
      </c>
    </row>
    <row r="6" spans="1:14" x14ac:dyDescent="0.3">
      <c r="A6" t="s">
        <v>17</v>
      </c>
      <c r="B6">
        <v>24</v>
      </c>
      <c r="C6">
        <v>1.65</v>
      </c>
      <c r="D6">
        <v>0.26</v>
      </c>
      <c r="E6">
        <v>0.65</v>
      </c>
      <c r="F6">
        <v>600</v>
      </c>
      <c r="G6">
        <v>1015</v>
      </c>
      <c r="H6">
        <v>4.8</v>
      </c>
      <c r="I6">
        <v>63</v>
      </c>
      <c r="J6">
        <v>0.16</v>
      </c>
      <c r="K6">
        <v>0.13500000000000001</v>
      </c>
      <c r="L6">
        <v>1015</v>
      </c>
      <c r="M6">
        <v>0.65</v>
      </c>
      <c r="N6" t="s">
        <v>31</v>
      </c>
    </row>
    <row r="7" spans="1:14" x14ac:dyDescent="0.3">
      <c r="A7" t="s">
        <v>18</v>
      </c>
      <c r="B7">
        <v>24</v>
      </c>
      <c r="C7">
        <v>1.57</v>
      </c>
      <c r="D7">
        <v>0.36</v>
      </c>
      <c r="E7">
        <v>0.82</v>
      </c>
      <c r="F7">
        <v>350</v>
      </c>
      <c r="G7">
        <v>680</v>
      </c>
      <c r="H7">
        <v>3.62</v>
      </c>
      <c r="I7">
        <v>43</v>
      </c>
      <c r="J7">
        <v>0.23</v>
      </c>
      <c r="K7">
        <v>0.17399999999999999</v>
      </c>
      <c r="L7">
        <v>680</v>
      </c>
      <c r="M7">
        <v>0.82</v>
      </c>
    </row>
    <row r="8" spans="1:14" x14ac:dyDescent="0.3">
      <c r="A8" t="s">
        <v>19</v>
      </c>
      <c r="B8">
        <v>24</v>
      </c>
      <c r="C8">
        <v>3.62</v>
      </c>
      <c r="D8">
        <v>1</v>
      </c>
      <c r="E8">
        <v>3.8</v>
      </c>
      <c r="F8">
        <v>580</v>
      </c>
      <c r="G8">
        <v>805</v>
      </c>
      <c r="H8">
        <v>15</v>
      </c>
      <c r="I8">
        <v>34</v>
      </c>
      <c r="J8">
        <v>0.28000000000000003</v>
      </c>
      <c r="K8">
        <v>0.36</v>
      </c>
      <c r="L8">
        <v>805</v>
      </c>
      <c r="M8">
        <v>3.8</v>
      </c>
      <c r="N8" t="s">
        <v>32</v>
      </c>
    </row>
    <row r="9" spans="1:14" x14ac:dyDescent="0.3">
      <c r="A9" t="s">
        <v>20</v>
      </c>
      <c r="B9">
        <v>24</v>
      </c>
      <c r="C9">
        <v>3</v>
      </c>
      <c r="D9">
        <v>1.6</v>
      </c>
      <c r="E9">
        <v>4.0999999999999996</v>
      </c>
      <c r="F9">
        <v>280</v>
      </c>
      <c r="G9">
        <v>510</v>
      </c>
      <c r="H9">
        <v>8.5</v>
      </c>
      <c r="I9">
        <v>21</v>
      </c>
      <c r="J9">
        <v>0.53</v>
      </c>
      <c r="K9">
        <v>0.54</v>
      </c>
      <c r="L9">
        <v>510</v>
      </c>
      <c r="M9">
        <v>4.0999999999999996</v>
      </c>
      <c r="N9" t="s">
        <v>33</v>
      </c>
    </row>
    <row r="10" spans="1:14" x14ac:dyDescent="0.3">
      <c r="A10" t="s">
        <v>21</v>
      </c>
      <c r="B10">
        <v>24</v>
      </c>
      <c r="C10">
        <v>3.34</v>
      </c>
      <c r="D10">
        <v>1.67</v>
      </c>
      <c r="E10">
        <v>5</v>
      </c>
      <c r="F10">
        <v>290</v>
      </c>
      <c r="G10">
        <v>500</v>
      </c>
      <c r="H10">
        <v>11</v>
      </c>
      <c r="I10">
        <v>21</v>
      </c>
      <c r="J10">
        <v>0.45</v>
      </c>
      <c r="K10">
        <v>0.65</v>
      </c>
      <c r="L10">
        <v>500</v>
      </c>
      <c r="M10">
        <v>5</v>
      </c>
      <c r="N10" t="s">
        <v>34</v>
      </c>
    </row>
    <row r="11" spans="1:14" x14ac:dyDescent="0.3">
      <c r="A11" t="s">
        <v>22</v>
      </c>
      <c r="B11">
        <v>24</v>
      </c>
      <c r="C11">
        <v>3.46</v>
      </c>
      <c r="D11">
        <v>2.79</v>
      </c>
      <c r="E11">
        <v>5.8</v>
      </c>
      <c r="F11">
        <v>130</v>
      </c>
      <c r="G11">
        <v>280</v>
      </c>
      <c r="H11">
        <v>7.6</v>
      </c>
      <c r="I11">
        <v>12</v>
      </c>
      <c r="J11">
        <v>0.76</v>
      </c>
      <c r="K11">
        <v>0.88</v>
      </c>
      <c r="L11">
        <v>280</v>
      </c>
      <c r="M11">
        <v>5.8</v>
      </c>
      <c r="N11" t="s">
        <v>35</v>
      </c>
    </row>
    <row r="12" spans="1:14" x14ac:dyDescent="0.3">
      <c r="A12" t="s">
        <v>23</v>
      </c>
      <c r="B12">
        <v>24</v>
      </c>
      <c r="C12">
        <v>5.0999999999999996</v>
      </c>
      <c r="D12">
        <v>0.15</v>
      </c>
      <c r="E12">
        <v>0.3</v>
      </c>
      <c r="F12">
        <v>3000</v>
      </c>
      <c r="G12">
        <v>3700</v>
      </c>
      <c r="H12">
        <v>12.8</v>
      </c>
      <c r="I12">
        <f>1000/8</f>
        <v>125</v>
      </c>
      <c r="J12">
        <v>0.03</v>
      </c>
      <c r="K12">
        <v>0.2</v>
      </c>
      <c r="L12">
        <v>3700</v>
      </c>
      <c r="M12" s="1">
        <f>1.2*(355.5/1000)</f>
        <v>0.42659999999999998</v>
      </c>
      <c r="N12" t="s">
        <v>36</v>
      </c>
    </row>
    <row r="13" spans="1:14" x14ac:dyDescent="0.3">
      <c r="A13" t="s">
        <v>24</v>
      </c>
      <c r="B13">
        <v>24</v>
      </c>
      <c r="C13">
        <v>4.9000000000000004</v>
      </c>
      <c r="D13">
        <v>0.35</v>
      </c>
      <c r="E13">
        <v>0.9</v>
      </c>
      <c r="F13">
        <v>2500</v>
      </c>
      <c r="G13">
        <v>3200</v>
      </c>
      <c r="H13">
        <v>12.4</v>
      </c>
      <c r="I13" s="1">
        <f>1000/7.93</f>
        <v>126.10340479192939</v>
      </c>
      <c r="J13">
        <v>7.0000000000000007E-2</v>
      </c>
      <c r="K13">
        <v>0.24</v>
      </c>
      <c r="L13">
        <v>3200</v>
      </c>
      <c r="M13" s="1">
        <f>1.2*(1919/1000)</f>
        <v>2.3028</v>
      </c>
      <c r="N13" t="s">
        <v>37</v>
      </c>
    </row>
    <row r="14" spans="1:14" x14ac:dyDescent="0.3">
      <c r="A14" t="s">
        <v>25</v>
      </c>
      <c r="B14">
        <v>48</v>
      </c>
      <c r="C14">
        <v>13.2</v>
      </c>
      <c r="D14">
        <v>0.8</v>
      </c>
      <c r="E14">
        <v>2</v>
      </c>
      <c r="F14">
        <v>2400</v>
      </c>
      <c r="G14">
        <v>2800</v>
      </c>
      <c r="H14">
        <v>13.2</v>
      </c>
      <c r="I14" s="1">
        <f>1000/17</f>
        <v>58.823529411764703</v>
      </c>
      <c r="J14">
        <v>0.18</v>
      </c>
      <c r="K14">
        <v>0.47</v>
      </c>
      <c r="L14">
        <v>2800</v>
      </c>
      <c r="M14" s="1">
        <f>1.2*(2115/1000)</f>
        <v>2.5380000000000003</v>
      </c>
      <c r="N14" t="s">
        <v>38</v>
      </c>
    </row>
    <row r="15" spans="1:14" x14ac:dyDescent="0.3">
      <c r="A15" t="s">
        <v>26</v>
      </c>
      <c r="B15">
        <v>48</v>
      </c>
      <c r="C15">
        <v>6.6</v>
      </c>
      <c r="D15">
        <v>1.5</v>
      </c>
      <c r="E15">
        <v>3.75</v>
      </c>
      <c r="F15">
        <v>1600</v>
      </c>
      <c r="G15">
        <v>2000</v>
      </c>
      <c r="H15">
        <v>19.8</v>
      </c>
      <c r="I15" s="1">
        <f>1000/21.1</f>
        <v>47.393364928909946</v>
      </c>
      <c r="J15">
        <v>0.23</v>
      </c>
      <c r="K15">
        <v>0.71</v>
      </c>
      <c r="L15">
        <v>2000</v>
      </c>
      <c r="M15" s="1">
        <f>1.2*(1601/1000)</f>
        <v>1.9211999999999998</v>
      </c>
      <c r="N15" t="s">
        <v>39</v>
      </c>
    </row>
    <row r="16" spans="1:14" x14ac:dyDescent="0.3">
      <c r="A16" t="s">
        <v>42</v>
      </c>
      <c r="B16">
        <v>24</v>
      </c>
      <c r="C16">
        <v>2</v>
      </c>
      <c r="D16">
        <v>1.5</v>
      </c>
      <c r="E16">
        <v>3</v>
      </c>
      <c r="F16">
        <v>200</v>
      </c>
      <c r="G16">
        <v>250</v>
      </c>
      <c r="H16">
        <v>4</v>
      </c>
      <c r="I16" t="s">
        <v>40</v>
      </c>
      <c r="J16" t="s">
        <v>40</v>
      </c>
      <c r="K16">
        <v>0.3</v>
      </c>
      <c r="L16">
        <v>250</v>
      </c>
      <c r="M16">
        <v>3</v>
      </c>
      <c r="N16" s="2" t="s">
        <v>41</v>
      </c>
    </row>
    <row r="17" spans="1:14" x14ac:dyDescent="0.3">
      <c r="A17" t="s">
        <v>43</v>
      </c>
      <c r="B17">
        <v>48</v>
      </c>
      <c r="C17">
        <v>4</v>
      </c>
      <c r="D17">
        <v>3.5</v>
      </c>
      <c r="E17">
        <v>7</v>
      </c>
      <c r="F17">
        <v>400</v>
      </c>
      <c r="G17">
        <v>670</v>
      </c>
      <c r="H17">
        <v>9</v>
      </c>
      <c r="I17" t="s">
        <v>40</v>
      </c>
      <c r="J17" t="s">
        <v>40</v>
      </c>
      <c r="K17">
        <v>0.35</v>
      </c>
      <c r="L17">
        <v>670</v>
      </c>
      <c r="M17">
        <v>7</v>
      </c>
      <c r="N17" t="s">
        <v>44</v>
      </c>
    </row>
    <row r="18" spans="1:14" x14ac:dyDescent="0.3">
      <c r="A18" t="s">
        <v>45</v>
      </c>
      <c r="B18">
        <v>48</v>
      </c>
      <c r="C18">
        <v>5.2</v>
      </c>
      <c r="D18">
        <v>18</v>
      </c>
      <c r="E18">
        <v>40</v>
      </c>
      <c r="F18">
        <v>90</v>
      </c>
      <c r="G18">
        <v>109.9</v>
      </c>
      <c r="H18">
        <v>10.5</v>
      </c>
      <c r="I18" t="s">
        <v>40</v>
      </c>
      <c r="J18" t="s">
        <v>40</v>
      </c>
      <c r="K18">
        <v>0.59</v>
      </c>
      <c r="L18">
        <v>109.9</v>
      </c>
      <c r="M18">
        <v>40</v>
      </c>
      <c r="N18" t="s">
        <v>46</v>
      </c>
    </row>
    <row r="19" spans="1:14" x14ac:dyDescent="0.3">
      <c r="A19" t="s">
        <v>47</v>
      </c>
      <c r="B19">
        <v>48</v>
      </c>
      <c r="C19">
        <v>3.2</v>
      </c>
      <c r="D19">
        <v>10</v>
      </c>
      <c r="E19">
        <v>25</v>
      </c>
      <c r="F19">
        <v>110</v>
      </c>
      <c r="G19">
        <v>254.3</v>
      </c>
      <c r="H19">
        <v>8</v>
      </c>
      <c r="I19" t="s">
        <v>40</v>
      </c>
      <c r="J19" t="s">
        <v>40</v>
      </c>
      <c r="K19">
        <v>0.71</v>
      </c>
      <c r="L19">
        <v>254.3</v>
      </c>
      <c r="M19">
        <v>25</v>
      </c>
      <c r="N19" t="s">
        <v>48</v>
      </c>
    </row>
    <row r="20" spans="1:14" x14ac:dyDescent="0.3">
      <c r="A20" t="s">
        <v>49</v>
      </c>
      <c r="B20">
        <v>48</v>
      </c>
      <c r="C20">
        <v>3.6</v>
      </c>
      <c r="D20">
        <v>4.5</v>
      </c>
      <c r="E20">
        <v>8</v>
      </c>
      <c r="F20">
        <v>310</v>
      </c>
      <c r="G20">
        <v>368</v>
      </c>
      <c r="H20">
        <v>7.2</v>
      </c>
      <c r="I20" t="s">
        <v>40</v>
      </c>
      <c r="J20" t="s">
        <v>40</v>
      </c>
      <c r="K20">
        <v>0.49</v>
      </c>
      <c r="L20">
        <v>368</v>
      </c>
      <c r="M20">
        <v>8</v>
      </c>
      <c r="N20" t="s">
        <v>50</v>
      </c>
    </row>
    <row r="21" spans="1:14" x14ac:dyDescent="0.3">
      <c r="A21" t="s">
        <v>51</v>
      </c>
      <c r="B21">
        <v>48</v>
      </c>
      <c r="C21">
        <v>5.2</v>
      </c>
      <c r="D21">
        <v>10</v>
      </c>
      <c r="E21">
        <v>20</v>
      </c>
      <c r="F21">
        <v>190</v>
      </c>
      <c r="G21">
        <v>220</v>
      </c>
      <c r="H21">
        <v>10.5</v>
      </c>
      <c r="I21" t="s">
        <v>40</v>
      </c>
      <c r="J21" t="s">
        <v>40</v>
      </c>
      <c r="K21">
        <v>0.78</v>
      </c>
      <c r="L21">
        <v>220</v>
      </c>
      <c r="M21">
        <v>20</v>
      </c>
      <c r="N21" t="s">
        <v>52</v>
      </c>
    </row>
    <row r="22" spans="1:14" x14ac:dyDescent="0.3">
      <c r="A22" t="s">
        <v>53</v>
      </c>
      <c r="B22">
        <v>48</v>
      </c>
      <c r="C22">
        <v>4</v>
      </c>
      <c r="D22">
        <v>30</v>
      </c>
      <c r="E22">
        <v>60</v>
      </c>
      <c r="F22">
        <v>40</v>
      </c>
      <c r="G22">
        <v>46.3</v>
      </c>
      <c r="H22">
        <v>8</v>
      </c>
      <c r="I22" t="s">
        <v>40</v>
      </c>
      <c r="J22" t="s">
        <v>40</v>
      </c>
      <c r="K22">
        <v>0.9</v>
      </c>
      <c r="L22">
        <v>46.3</v>
      </c>
      <c r="M22">
        <v>60</v>
      </c>
      <c r="N22" t="s">
        <v>54</v>
      </c>
    </row>
    <row r="23" spans="1:14" x14ac:dyDescent="0.3">
      <c r="A23" t="s">
        <v>55</v>
      </c>
      <c r="B23">
        <v>48</v>
      </c>
      <c r="C23">
        <v>6.5</v>
      </c>
      <c r="D23">
        <v>15</v>
      </c>
      <c r="E23">
        <v>40</v>
      </c>
      <c r="F23">
        <v>165</v>
      </c>
      <c r="G23">
        <v>186.4</v>
      </c>
      <c r="H23">
        <v>15</v>
      </c>
      <c r="I23" t="s">
        <v>40</v>
      </c>
      <c r="J23" t="s">
        <v>40</v>
      </c>
      <c r="K23">
        <v>1.1499999999999999</v>
      </c>
      <c r="L23">
        <v>186.4</v>
      </c>
      <c r="M23">
        <v>40</v>
      </c>
      <c r="N23" t="s">
        <v>56</v>
      </c>
    </row>
    <row r="24" spans="1:14" x14ac:dyDescent="0.3">
      <c r="A24" t="s">
        <v>57</v>
      </c>
      <c r="B24">
        <v>48</v>
      </c>
      <c r="C24">
        <v>6.7</v>
      </c>
      <c r="D24">
        <v>50</v>
      </c>
      <c r="E24">
        <v>100</v>
      </c>
      <c r="F24">
        <v>50</v>
      </c>
      <c r="G24">
        <v>53.6</v>
      </c>
      <c r="H24">
        <v>13.5</v>
      </c>
      <c r="I24" t="s">
        <v>40</v>
      </c>
      <c r="J24" t="s">
        <v>40</v>
      </c>
      <c r="K24">
        <v>1.7</v>
      </c>
      <c r="L24" s="2">
        <v>53.6</v>
      </c>
      <c r="M24" s="2">
        <v>100</v>
      </c>
      <c r="N24" t="s">
        <v>58</v>
      </c>
    </row>
    <row r="25" spans="1:14" x14ac:dyDescent="0.3">
      <c r="A25" t="s">
        <v>61</v>
      </c>
      <c r="B25">
        <v>24</v>
      </c>
      <c r="C25">
        <v>3</v>
      </c>
      <c r="D25">
        <v>2.5</v>
      </c>
      <c r="E25">
        <v>7</v>
      </c>
      <c r="F25">
        <v>142</v>
      </c>
      <c r="G25" t="s">
        <v>40</v>
      </c>
      <c r="H25">
        <v>8.1</v>
      </c>
      <c r="I25">
        <v>4.3</v>
      </c>
      <c r="J25">
        <v>0.8</v>
      </c>
      <c r="K25">
        <v>0.26</v>
      </c>
      <c r="L25" s="2">
        <v>178</v>
      </c>
      <c r="M25" s="2">
        <v>7.5</v>
      </c>
    </row>
    <row r="26" spans="1:14" x14ac:dyDescent="0.3">
      <c r="A26" t="s">
        <v>60</v>
      </c>
      <c r="B26">
        <v>24</v>
      </c>
      <c r="C26">
        <v>7.8</v>
      </c>
      <c r="D26">
        <v>4</v>
      </c>
      <c r="E26">
        <v>10</v>
      </c>
      <c r="F26">
        <v>238</v>
      </c>
      <c r="G26" t="s">
        <v>40</v>
      </c>
      <c r="H26">
        <v>19.5</v>
      </c>
      <c r="I26">
        <v>6</v>
      </c>
      <c r="J26">
        <v>0.8</v>
      </c>
      <c r="K26">
        <v>0.33</v>
      </c>
      <c r="L26" s="2">
        <v>317</v>
      </c>
      <c r="M26" s="2">
        <v>7.2</v>
      </c>
    </row>
    <row r="27" spans="1:14" x14ac:dyDescent="0.3">
      <c r="A27" t="s">
        <v>59</v>
      </c>
      <c r="B27">
        <v>24</v>
      </c>
      <c r="C27">
        <v>6.1</v>
      </c>
      <c r="D27">
        <v>10.5</v>
      </c>
      <c r="E27">
        <v>34</v>
      </c>
      <c r="F27">
        <v>83</v>
      </c>
      <c r="G27" t="s">
        <v>40</v>
      </c>
      <c r="H27">
        <v>21.5</v>
      </c>
      <c r="I27">
        <v>6</v>
      </c>
      <c r="J27">
        <v>1.9</v>
      </c>
      <c r="K27">
        <v>0.36</v>
      </c>
      <c r="L27" s="2">
        <v>111</v>
      </c>
      <c r="M27" s="2">
        <v>28.75</v>
      </c>
    </row>
    <row r="28" spans="1:14" x14ac:dyDescent="0.3">
      <c r="A28" t="s">
        <v>62</v>
      </c>
      <c r="B28">
        <v>48</v>
      </c>
      <c r="C28">
        <v>9.5</v>
      </c>
      <c r="D28">
        <v>20</v>
      </c>
      <c r="E28">
        <v>60</v>
      </c>
      <c r="F28">
        <v>153</v>
      </c>
      <c r="G28" t="s">
        <v>40</v>
      </c>
      <c r="H28">
        <v>29.1</v>
      </c>
      <c r="I28">
        <v>16</v>
      </c>
      <c r="J28">
        <v>2.1</v>
      </c>
      <c r="K28">
        <v>0.82</v>
      </c>
      <c r="L28" s="2">
        <v>176</v>
      </c>
      <c r="M28" s="2">
        <v>60</v>
      </c>
    </row>
    <row r="29" spans="1:14" x14ac:dyDescent="0.3">
      <c r="A29" t="s">
        <v>63</v>
      </c>
      <c r="B29">
        <v>24</v>
      </c>
      <c r="C29">
        <v>6.2</v>
      </c>
      <c r="D29">
        <v>8</v>
      </c>
      <c r="E29">
        <v>32</v>
      </c>
      <c r="F29">
        <v>244</v>
      </c>
      <c r="G29" t="s">
        <v>40</v>
      </c>
      <c r="H29">
        <v>30</v>
      </c>
      <c r="I29">
        <v>10.9</v>
      </c>
      <c r="J29">
        <v>1.3</v>
      </c>
      <c r="K29">
        <v>0.55000000000000004</v>
      </c>
      <c r="L29" s="2">
        <v>277</v>
      </c>
      <c r="M29" s="2">
        <v>24</v>
      </c>
    </row>
    <row r="30" spans="1:14" x14ac:dyDescent="0.3">
      <c r="A30" t="s">
        <v>64</v>
      </c>
      <c r="B30">
        <v>48</v>
      </c>
      <c r="C30">
        <v>17.600000000000001</v>
      </c>
      <c r="D30">
        <v>43</v>
      </c>
      <c r="E30">
        <v>120</v>
      </c>
      <c r="F30">
        <v>127</v>
      </c>
      <c r="G30" t="s">
        <v>40</v>
      </c>
      <c r="H30">
        <v>43.8</v>
      </c>
      <c r="I30">
        <v>19.2</v>
      </c>
      <c r="J30">
        <v>2.4</v>
      </c>
      <c r="K30">
        <v>1.4</v>
      </c>
      <c r="L30" s="2">
        <v>158</v>
      </c>
      <c r="M30" s="2">
        <v>129</v>
      </c>
    </row>
    <row r="31" spans="1:14" x14ac:dyDescent="0.3">
      <c r="A31" t="s">
        <v>65</v>
      </c>
      <c r="B31">
        <v>48</v>
      </c>
      <c r="C31">
        <v>30</v>
      </c>
      <c r="D31">
        <v>85</v>
      </c>
      <c r="E31">
        <v>320</v>
      </c>
      <c r="F31">
        <v>100</v>
      </c>
      <c r="G31" t="s">
        <v>40</v>
      </c>
      <c r="H31">
        <v>100</v>
      </c>
      <c r="I31">
        <v>17.899999999999999</v>
      </c>
      <c r="J31">
        <v>3.3</v>
      </c>
      <c r="K31">
        <v>2.37</v>
      </c>
      <c r="L31" s="2">
        <v>125</v>
      </c>
      <c r="M31" s="2">
        <v>275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Bonilla Ceron</dc:creator>
  <cp:lastModifiedBy>Juan Manuel Bonilla Ceron</cp:lastModifiedBy>
  <dcterms:created xsi:type="dcterms:W3CDTF">2025-10-27T19:43:18Z</dcterms:created>
  <dcterms:modified xsi:type="dcterms:W3CDTF">2025-11-17T21:58:52Z</dcterms:modified>
</cp:coreProperties>
</file>